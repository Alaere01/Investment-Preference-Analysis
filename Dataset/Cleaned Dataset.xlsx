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a67114d6746a0a/Documents/WEEK 5 NTTS ASSIGNMENT/"/>
    </mc:Choice>
  </mc:AlternateContent>
  <xr:revisionPtr revIDLastSave="1" documentId="8_{13069D83-2F55-465D-BA25-4307A30D426C}" xr6:coauthVersionLast="47" xr6:coauthVersionMax="47" xr10:uidLastSave="{FAD4E54C-9242-4435-BCAD-BE839533E90B}"/>
  <bookViews>
    <workbookView xWindow="0" yWindow="0" windowWidth="20490" windowHeight="10920" xr2:uid="{5491D364-B58C-4FC2-A9DF-26907E5378D7}"/>
  </bookViews>
  <sheets>
    <sheet name="Investment Preference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  <c r="C3" i="2" a="1"/>
  <c r="C3" i="2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/>
  <c r="C10" i="2" a="1"/>
  <c r="C10" i="2" s="1"/>
  <c r="C11" i="2" a="1"/>
  <c r="C11" i="2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/>
  <c r="C18" i="2" a="1"/>
  <c r="C18" i="2" s="1"/>
  <c r="C19" i="2" a="1"/>
  <c r="C19" i="2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/>
  <c r="C26" i="2" a="1"/>
  <c r="C26" i="2" s="1"/>
  <c r="C27" i="2" a="1"/>
  <c r="C27" i="2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/>
  <c r="C34" i="2" a="1"/>
  <c r="C34" i="2" s="1"/>
  <c r="C35" i="2" a="1"/>
  <c r="C35" i="2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<sst xmlns="http://schemas.openxmlformats.org/spreadsheetml/2006/main" count="665" uniqueCount="69">
  <si>
    <t>PPF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</si>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</sst>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27AC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18" fillId="0" borderId="0" xfId="0" applyNumberFormat="1" applyFont="1" applyAlignment="1">
      <alignment horizontal="left"/>
    </xf>
    <xf numFmtId="49" fontId="0" fillId="0" borderId="0" xfId="0" applyNumberFormat="1"/>
    <xf numFmtId="49" fontId="18" fillId="36" borderId="0" xfId="0" applyNumberFormat="1" applyFont="1" applyFill="1" applyAlignment="1">
      <alignment horizontal="left"/>
    </xf>
    <xf numFmtId="49" fontId="19" fillId="0" borderId="0" xfId="0" applyNumberFormat="1" applyFont="1" applyAlignment="1">
      <alignment horizontal="left"/>
    </xf>
    <xf numFmtId="49" fontId="18" fillId="34" borderId="0" xfId="0" applyNumberFormat="1" applyFont="1" applyFill="1" applyAlignment="1">
      <alignment horizontal="left"/>
    </xf>
    <xf numFmtId="49" fontId="18" fillId="35" borderId="0" xfId="0" applyNumberFormat="1" applyFont="1" applyFill="1" applyAlignment="1">
      <alignment horizontal="left"/>
    </xf>
    <xf numFmtId="1" fontId="18" fillId="36" borderId="0" xfId="0" applyNumberFormat="1" applyFont="1" applyFill="1" applyAlignment="1">
      <alignment horizontal="left"/>
    </xf>
    <xf numFmtId="1" fontId="0" fillId="0" borderId="0" xfId="0" applyNumberFormat="1"/>
    <xf numFmtId="1" fontId="18" fillId="0" borderId="0" xfId="0" applyNumberFormat="1" applyFont="1" applyAlignment="1">
      <alignment horizontal="left"/>
    </xf>
    <xf numFmtId="10" fontId="18" fillId="33" borderId="0" xfId="0" applyNumberFormat="1" applyFont="1" applyFill="1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4" formatCode="0.0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font>
        <color rgb="FF000000"/>
      </font>
      <numFmt numFmtId="30" formatCode="@"/>
      <alignment horizontal="left" vertical="bottom" textRotation="0" wrapText="0" indent="0" justifyLastLine="0" shrinkToFit="0" readingOrder="0"/>
    </dxf>
    <dxf>
      <numFmt numFmtId="1" formatCode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/>
    </dxf>
  </dxfs>
  <tableStyles count="0" defaultTableStyle="TableStyleMedium2" defaultPivotStyle="PivotStyleLight16"/>
  <colors>
    <mruColors>
      <color rgb="FF1A52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D4EF57-BBE3-4C4E-9804-B2911FBE211D}" name="Table13" displayName="Table13" ref="A1:Y41" totalsRowShown="0" headerRowDxfId="25">
  <autoFilter ref="A1:Y41" xr:uid="{EE7A2149-80FA-496A-8E91-2E43C3821603}"/>
  <tableColumns count="25">
    <tableColumn id="1" xr3:uid="{3F747D86-1B1D-4274-B3AB-55D0F08C9187}" name="GENDER" dataDxfId="24"/>
    <tableColumn id="2" xr3:uid="{8CDF422A-B03C-4F8B-9778-8050C24944A0}" name="AGE" dataDxfId="23"/>
    <tableColumn id="25" xr3:uid="{C1742240-2DED-42B6-BE69-ACEA38163EBE}" name="AGE GROUP" dataDxfId="22">
      <calculatedColumnFormula array="1">_xlfn.IFS(AND(B2&gt;=21,B2&lt;=25),"Early Adulthood",AND(B2&gt;=26,B2&lt;=30),"Established Adulthood",AND(B2&gt;=31,B2&lt;=35),"Experienced Adulthood")</calculatedColumnFormula>
    </tableColumn>
    <tableColumn id="3" xr3:uid="{E6882D5E-8978-48C8-9C4A-1A6A31D7DF1F}" name="INVESTMENT_AVENUES" dataDxfId="21"/>
    <tableColumn id="4" xr3:uid="{7BA7B2D0-678D-47E0-ABC1-56D3DA14BDDD}" name="MUTUAL_FUNDS" dataDxfId="20"/>
    <tableColumn id="5" xr3:uid="{2A86332D-6588-448D-B1D4-1F43738C55A9}" name="EQUITY_MARKET" dataDxfId="19"/>
    <tableColumn id="6" xr3:uid="{B6174DE1-9495-4B5A-9992-455A1D5BC530}" name="DEBENTURES" dataDxfId="18"/>
    <tableColumn id="7" xr3:uid="{DCEDE0E9-8B95-4C24-A9A5-AA271326CE93}" name="GOVERNMENT_BONDS" dataDxfId="17"/>
    <tableColumn id="8" xr3:uid="{35292643-3914-493A-A51A-23621538E6FE}" name="FIXED_DEPOSITS" dataDxfId="16"/>
    <tableColumn id="9" xr3:uid="{FA4FE51E-9E92-4857-8F85-F5E0AD7BBFBF}" name="PPF" dataDxfId="15"/>
    <tableColumn id="10" xr3:uid="{15F05499-1C98-4285-B3CE-2AB9102F67BF}" name="GOLD" dataDxfId="14"/>
    <tableColumn id="11" xr3:uid="{8F3E1560-3795-4981-BBE7-DB74756D5425}" name="STOCK_MARKTET" dataDxfId="13"/>
    <tableColumn id="12" xr3:uid="{BE84BE9E-CC3E-4B44-B07D-51C8EFED44AA}" name="FACTOR" dataDxfId="12"/>
    <tableColumn id="13" xr3:uid="{F7FBBFC8-A05F-4900-9E64-0AFAD25DFDD3}" name="OBJECTIVE" dataDxfId="11"/>
    <tableColumn id="14" xr3:uid="{4D7E3807-EC0C-4C9A-B6CD-883D02FF2D71}" name="PURPOSE" dataDxfId="10"/>
    <tableColumn id="15" xr3:uid="{68DF742A-BC8E-44DA-9C31-8DF8F7414448}" name="DURATION" dataDxfId="9"/>
    <tableColumn id="16" xr3:uid="{33CA1EAD-8B4D-456B-BF10-67E805BD178B}" name="INVEST_MONITOR" dataDxfId="8"/>
    <tableColumn id="17" xr3:uid="{B2010181-D06C-42B1-A197-0CD44011CA3B}" name="EXPECT" dataDxfId="7"/>
    <tableColumn id="18" xr3:uid="{D8384229-BE9F-4E5B-89AF-13453B75499C}" name="AVENUE" dataDxfId="6"/>
    <tableColumn id="19" xr3:uid="{20C41566-8014-44B7-A454-D02D88B0FF2C}" name="WHAT ARE YOUR SAVINGS OBJECTIVES?" dataDxfId="5"/>
    <tableColumn id="20" xr3:uid="{21AE48ED-107C-442F-AAA1-70D93A554210}" name="REASON_EQUITY" dataDxfId="4"/>
    <tableColumn id="21" xr3:uid="{6B0937A1-6292-402C-8DE3-000DE7665B31}" name="REASON_MUTUAL" dataDxfId="3"/>
    <tableColumn id="22" xr3:uid="{EE5313AD-F835-496F-9F00-566F44099D5A}" name="REASON_BONDS" dataDxfId="2"/>
    <tableColumn id="23" xr3:uid="{94C78E12-B95A-4214-95DF-F4E26075C596}" name="REASON_FD" dataDxfId="1"/>
    <tableColumn id="24" xr3:uid="{1FEB7939-566A-43F4-A9DA-1DB01B0F91DE}" name="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39CE4D2-8831-4784-97E8-E5F0955A4C05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gxi_h5QeWGZERzpnGhX1n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1E7E00D-B251-4F3C-8E83-8434A72D89CA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53B9-F49E-419C-9A54-2FA8673D4EDB}">
  <dimension ref="A1:Y41"/>
  <sheetViews>
    <sheetView tabSelected="1" topLeftCell="I1" workbookViewId="0">
      <selection activeCell="O13" activeCellId="1" sqref="M12 O13"/>
    </sheetView>
  </sheetViews>
  <sheetFormatPr defaultRowHeight="15" x14ac:dyDescent="0.25"/>
  <cols>
    <col min="1" max="1" width="10.5703125" style="2" bestFit="1" customWidth="1"/>
    <col min="2" max="2" width="7" style="8" bestFit="1" customWidth="1"/>
    <col min="3" max="3" width="22.28515625" style="2" bestFit="1" customWidth="1"/>
    <col min="4" max="4" width="24.7109375" style="2" bestFit="1" customWidth="1"/>
    <col min="5" max="6" width="18.42578125" style="8" bestFit="1" customWidth="1"/>
    <col min="7" max="7" width="14.7109375" style="8" bestFit="1" customWidth="1"/>
    <col min="8" max="8" width="24" style="8" bestFit="1" customWidth="1"/>
    <col min="9" max="9" width="17.85546875" style="8" bestFit="1" customWidth="1"/>
    <col min="10" max="10" width="6.5703125" style="8" bestFit="1" customWidth="1"/>
    <col min="11" max="11" width="8.28515625" style="8" bestFit="1" customWidth="1"/>
    <col min="12" max="12" width="18.5703125" style="2" bestFit="1" customWidth="1"/>
    <col min="13" max="13" width="14" style="2" bestFit="1" customWidth="1"/>
    <col min="14" max="14" width="19.28515625" style="2" bestFit="1" customWidth="1"/>
    <col min="15" max="15" width="17" style="2" bestFit="1" customWidth="1"/>
    <col min="16" max="16" width="16.85546875" style="2" bestFit="1" customWidth="1"/>
    <col min="17" max="17" width="19.7109375" style="2" bestFit="1" customWidth="1"/>
    <col min="18" max="18" width="9.7109375" style="11" bestFit="1" customWidth="1"/>
    <col min="19" max="19" width="20.7109375" style="2" bestFit="1" customWidth="1"/>
    <col min="20" max="20" width="39.28515625" style="2" bestFit="1" customWidth="1"/>
    <col min="21" max="21" width="19.28515625" style="2" bestFit="1" customWidth="1"/>
    <col min="22" max="22" width="19.7109375" style="2" bestFit="1" customWidth="1"/>
    <col min="23" max="24" width="18" style="2" bestFit="1" customWidth="1"/>
    <col min="25" max="25" width="26" style="2" bestFit="1" customWidth="1"/>
  </cols>
  <sheetData>
    <row r="1" spans="1:25" x14ac:dyDescent="0.25">
      <c r="A1" s="1" t="s">
        <v>45</v>
      </c>
      <c r="B1" s="7" t="s">
        <v>46</v>
      </c>
      <c r="C1" s="3" t="s">
        <v>68</v>
      </c>
      <c r="D1" s="1" t="s">
        <v>47</v>
      </c>
      <c r="E1" s="9" t="s">
        <v>48</v>
      </c>
      <c r="F1" s="9" t="s">
        <v>49</v>
      </c>
      <c r="G1" s="9" t="s">
        <v>50</v>
      </c>
      <c r="H1" s="9" t="s">
        <v>51</v>
      </c>
      <c r="I1" s="9" t="s">
        <v>52</v>
      </c>
      <c r="J1" s="9" t="s">
        <v>0</v>
      </c>
      <c r="K1" s="9" t="s">
        <v>53</v>
      </c>
      <c r="L1" s="5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0" t="s">
        <v>60</v>
      </c>
      <c r="S1" s="6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</row>
    <row r="2" spans="1:25" x14ac:dyDescent="0.25">
      <c r="A2" s="2" t="s">
        <v>1</v>
      </c>
      <c r="B2" s="8">
        <v>34</v>
      </c>
      <c r="C2" s="4" t="str" cm="1">
        <f t="array" ref="C2">_xlfn.IFS(AND(B2&gt;=21,B2&lt;=25),"Early Adulthood",AND(B2&gt;=26,B2&lt;=30),"Established Adulthood",AND(B2&gt;=31,B2&lt;=35),"Experienced Adulthood")</f>
        <v>Experienced Adulthood</v>
      </c>
      <c r="D2" s="2" t="s">
        <v>2</v>
      </c>
      <c r="E2" s="8">
        <v>1</v>
      </c>
      <c r="F2" s="8">
        <v>2</v>
      </c>
      <c r="G2" s="8">
        <v>5</v>
      </c>
      <c r="H2" s="8">
        <v>3</v>
      </c>
      <c r="I2" s="8">
        <v>7</v>
      </c>
      <c r="J2" s="8">
        <v>6</v>
      </c>
      <c r="K2" s="8">
        <v>4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7</v>
      </c>
      <c r="R2" s="11" t="s">
        <v>8</v>
      </c>
      <c r="S2" s="2" t="s">
        <v>9</v>
      </c>
      <c r="T2" s="2" t="s">
        <v>10</v>
      </c>
      <c r="U2" s="2" t="s">
        <v>4</v>
      </c>
      <c r="V2" s="2" t="s">
        <v>11</v>
      </c>
      <c r="W2" s="2" t="s">
        <v>12</v>
      </c>
      <c r="X2" s="2" t="s">
        <v>13</v>
      </c>
      <c r="Y2" s="2" t="s">
        <v>14</v>
      </c>
    </row>
    <row r="3" spans="1:25" x14ac:dyDescent="0.25">
      <c r="A3" s="2" t="s">
        <v>1</v>
      </c>
      <c r="B3" s="8">
        <v>23</v>
      </c>
      <c r="C3" s="4" t="str" cm="1">
        <f t="array" ref="C3">_xlfn.IFS(AND(B3&gt;=21,B3&lt;=25),"Early Adulthood",AND(B3&gt;=26,B3&lt;=30),"Established Adulthood",AND(B3&gt;=31,B3&lt;=35),"Experienced Adulthood")</f>
        <v>Early Adulthood</v>
      </c>
      <c r="D3" s="2" t="s">
        <v>2</v>
      </c>
      <c r="E3" s="8">
        <v>4</v>
      </c>
      <c r="F3" s="8">
        <v>3</v>
      </c>
      <c r="G3" s="8">
        <v>2</v>
      </c>
      <c r="H3" s="8">
        <v>1</v>
      </c>
      <c r="I3" s="8">
        <v>5</v>
      </c>
      <c r="J3" s="8">
        <v>6</v>
      </c>
      <c r="K3" s="8">
        <v>7</v>
      </c>
      <c r="L3" s="2" t="s">
        <v>15</v>
      </c>
      <c r="M3" s="2" t="s">
        <v>16</v>
      </c>
      <c r="N3" s="2" t="s">
        <v>4</v>
      </c>
      <c r="O3" s="2" t="s">
        <v>5</v>
      </c>
      <c r="P3" s="2" t="s">
        <v>17</v>
      </c>
      <c r="Q3" s="2" t="s">
        <v>18</v>
      </c>
      <c r="R3" s="11" t="s">
        <v>8</v>
      </c>
      <c r="S3" s="2" t="s">
        <v>9</v>
      </c>
      <c r="T3" s="2" t="s">
        <v>19</v>
      </c>
      <c r="U3" s="2" t="s">
        <v>20</v>
      </c>
      <c r="V3" s="2" t="s">
        <v>11</v>
      </c>
      <c r="W3" s="2" t="s">
        <v>12</v>
      </c>
      <c r="X3" s="2" t="s">
        <v>21</v>
      </c>
      <c r="Y3" s="2" t="s">
        <v>22</v>
      </c>
    </row>
    <row r="4" spans="1:25" x14ac:dyDescent="0.25">
      <c r="A4" s="2" t="s">
        <v>23</v>
      </c>
      <c r="B4" s="8">
        <v>30</v>
      </c>
      <c r="C4" s="4" t="str" cm="1">
        <f t="array" ref="C4">_xlfn.IFS(AND(B4&gt;=21,B4&lt;=25),"Early Adulthood",AND(B4&gt;=26,B4&lt;=30),"Established Adulthood",AND(B4&gt;=31,B4&lt;=35),"Experienced Adulthood")</f>
        <v>Established Adulthood</v>
      </c>
      <c r="D4" s="2" t="s">
        <v>2</v>
      </c>
      <c r="E4" s="8">
        <v>3</v>
      </c>
      <c r="F4" s="8">
        <v>6</v>
      </c>
      <c r="G4" s="8">
        <v>4</v>
      </c>
      <c r="H4" s="8">
        <v>2</v>
      </c>
      <c r="I4" s="8">
        <v>5</v>
      </c>
      <c r="J4" s="8">
        <v>1</v>
      </c>
      <c r="K4" s="8">
        <v>7</v>
      </c>
      <c r="L4" s="2" t="s">
        <v>2</v>
      </c>
      <c r="M4" s="2" t="s">
        <v>3</v>
      </c>
      <c r="N4" s="2" t="s">
        <v>4</v>
      </c>
      <c r="O4" s="2" t="s">
        <v>5</v>
      </c>
      <c r="P4" s="2" t="s">
        <v>24</v>
      </c>
      <c r="Q4" s="2" t="s">
        <v>25</v>
      </c>
      <c r="R4" s="11" t="s">
        <v>8</v>
      </c>
      <c r="S4" s="2" t="s">
        <v>26</v>
      </c>
      <c r="T4" s="2" t="s">
        <v>10</v>
      </c>
      <c r="U4" s="2" t="s">
        <v>4</v>
      </c>
      <c r="V4" s="2" t="s">
        <v>27</v>
      </c>
      <c r="W4" s="2" t="s">
        <v>28</v>
      </c>
      <c r="X4" s="2" t="s">
        <v>13</v>
      </c>
      <c r="Y4" s="2" t="s">
        <v>29</v>
      </c>
    </row>
    <row r="5" spans="1:25" x14ac:dyDescent="0.25">
      <c r="A5" s="2" t="s">
        <v>23</v>
      </c>
      <c r="B5" s="8">
        <v>22</v>
      </c>
      <c r="C5" s="4" t="str" cm="1">
        <f t="array" ref="C5">_xlfn.IFS(AND(B5&gt;=21,B5&lt;=25),"Early Adulthood",AND(B5&gt;=26,B5&lt;=30),"Established Adulthood",AND(B5&gt;=31,B5&lt;=35),"Experienced Adulthood")</f>
        <v>Early Adulthood</v>
      </c>
      <c r="D5" s="2" t="s">
        <v>2</v>
      </c>
      <c r="E5" s="8">
        <v>2</v>
      </c>
      <c r="F5" s="8">
        <v>1</v>
      </c>
      <c r="G5" s="8">
        <v>3</v>
      </c>
      <c r="H5" s="8">
        <v>7</v>
      </c>
      <c r="I5" s="8">
        <v>6</v>
      </c>
      <c r="J5" s="8">
        <v>4</v>
      </c>
      <c r="K5" s="8">
        <v>5</v>
      </c>
      <c r="L5" s="2" t="s">
        <v>2</v>
      </c>
      <c r="M5" s="2" t="s">
        <v>3</v>
      </c>
      <c r="N5" s="2" t="s">
        <v>30</v>
      </c>
      <c r="O5" s="2" t="s">
        <v>5</v>
      </c>
      <c r="P5" s="2" t="s">
        <v>31</v>
      </c>
      <c r="Q5" s="2" t="s">
        <v>25</v>
      </c>
      <c r="R5" s="11" t="s">
        <v>32</v>
      </c>
      <c r="S5" s="2" t="s">
        <v>26</v>
      </c>
      <c r="T5" s="2" t="s">
        <v>10</v>
      </c>
      <c r="U5" s="2" t="s">
        <v>20</v>
      </c>
      <c r="V5" s="2" t="s">
        <v>33</v>
      </c>
      <c r="W5" s="2" t="s">
        <v>34</v>
      </c>
      <c r="X5" s="2" t="s">
        <v>21</v>
      </c>
      <c r="Y5" s="2" t="s">
        <v>35</v>
      </c>
    </row>
    <row r="6" spans="1:25" x14ac:dyDescent="0.25">
      <c r="A6" s="2" t="s">
        <v>1</v>
      </c>
      <c r="B6" s="8">
        <v>24</v>
      </c>
      <c r="C6" s="4" t="str" cm="1">
        <f t="array" ref="C6">_xlfn.IFS(AND(B6&gt;=21,B6&lt;=25),"Early Adulthood",AND(B6&gt;=26,B6&lt;=30),"Established Adulthood",AND(B6&gt;=31,B6&lt;=35),"Experienced Adulthood")</f>
        <v>Early Adulthood</v>
      </c>
      <c r="D6" s="2" t="s">
        <v>15</v>
      </c>
      <c r="E6" s="8">
        <v>2</v>
      </c>
      <c r="F6" s="8">
        <v>1</v>
      </c>
      <c r="G6" s="8">
        <v>3</v>
      </c>
      <c r="H6" s="8">
        <v>6</v>
      </c>
      <c r="I6" s="8">
        <v>4</v>
      </c>
      <c r="J6" s="8">
        <v>5</v>
      </c>
      <c r="K6" s="8">
        <v>7</v>
      </c>
      <c r="L6" s="2" t="s">
        <v>15</v>
      </c>
      <c r="M6" s="2" t="s">
        <v>3</v>
      </c>
      <c r="N6" s="2" t="s">
        <v>30</v>
      </c>
      <c r="O6" s="2" t="s">
        <v>5</v>
      </c>
      <c r="P6" s="2" t="s">
        <v>31</v>
      </c>
      <c r="Q6" s="2" t="s">
        <v>25</v>
      </c>
      <c r="R6" s="11" t="s">
        <v>8</v>
      </c>
      <c r="S6" s="2" t="s">
        <v>26</v>
      </c>
      <c r="T6" s="2" t="s">
        <v>10</v>
      </c>
      <c r="U6" s="2" t="s">
        <v>4</v>
      </c>
      <c r="V6" s="2" t="s">
        <v>11</v>
      </c>
      <c r="W6" s="2" t="s">
        <v>12</v>
      </c>
      <c r="X6" s="2" t="s">
        <v>36</v>
      </c>
      <c r="Y6" s="2" t="s">
        <v>35</v>
      </c>
    </row>
    <row r="7" spans="1:25" x14ac:dyDescent="0.25">
      <c r="A7" s="2" t="s">
        <v>1</v>
      </c>
      <c r="B7" s="8">
        <v>24</v>
      </c>
      <c r="C7" s="4" t="str" cm="1">
        <f t="array" ref="C7">_xlfn.IFS(AND(B7&gt;=21,B7&lt;=25),"Early Adulthood",AND(B7&gt;=26,B7&lt;=30),"Established Adulthood",AND(B7&gt;=31,B7&lt;=35),"Experienced Adulthood")</f>
        <v>Early Adulthood</v>
      </c>
      <c r="D7" s="2" t="s">
        <v>15</v>
      </c>
      <c r="E7" s="8">
        <v>7</v>
      </c>
      <c r="F7" s="8">
        <v>5</v>
      </c>
      <c r="G7" s="8">
        <v>4</v>
      </c>
      <c r="H7" s="8">
        <v>6</v>
      </c>
      <c r="I7" s="8">
        <v>3</v>
      </c>
      <c r="J7" s="8">
        <v>1</v>
      </c>
      <c r="K7" s="8">
        <v>2</v>
      </c>
      <c r="L7" s="2" t="s">
        <v>15</v>
      </c>
      <c r="M7" s="2" t="s">
        <v>37</v>
      </c>
      <c r="N7" s="2" t="s">
        <v>4</v>
      </c>
      <c r="O7" s="2" t="s">
        <v>5</v>
      </c>
      <c r="P7" s="2" t="s">
        <v>6</v>
      </c>
      <c r="Q7" s="2" t="s">
        <v>25</v>
      </c>
      <c r="R7" s="11" t="s">
        <v>38</v>
      </c>
      <c r="S7" s="2" t="s">
        <v>9</v>
      </c>
      <c r="T7" s="2" t="s">
        <v>10</v>
      </c>
      <c r="U7" s="2" t="s">
        <v>39</v>
      </c>
      <c r="V7" s="2" t="s">
        <v>33</v>
      </c>
      <c r="W7" s="2" t="s">
        <v>12</v>
      </c>
      <c r="X7" s="2" t="s">
        <v>36</v>
      </c>
      <c r="Y7" s="2" t="s">
        <v>35</v>
      </c>
    </row>
    <row r="8" spans="1:25" x14ac:dyDescent="0.25">
      <c r="A8" s="2" t="s">
        <v>1</v>
      </c>
      <c r="B8" s="8">
        <v>27</v>
      </c>
      <c r="C8" s="4" t="str" cm="1">
        <f t="array" ref="C8">_xlfn.IFS(AND(B8&gt;=21,B8&lt;=25),"Early Adulthood",AND(B8&gt;=26,B8&lt;=30),"Established Adulthood",AND(B8&gt;=31,B8&lt;=35),"Experienced Adulthood")</f>
        <v>Established Adulthood</v>
      </c>
      <c r="D8" s="2" t="s">
        <v>2</v>
      </c>
      <c r="E8" s="8">
        <v>3</v>
      </c>
      <c r="F8" s="8">
        <v>6</v>
      </c>
      <c r="G8" s="8">
        <v>4</v>
      </c>
      <c r="H8" s="8">
        <v>2</v>
      </c>
      <c r="I8" s="8">
        <v>5</v>
      </c>
      <c r="J8" s="8">
        <v>1</v>
      </c>
      <c r="K8" s="8">
        <v>7</v>
      </c>
      <c r="L8" s="2" t="s">
        <v>2</v>
      </c>
      <c r="M8" s="2" t="s">
        <v>3</v>
      </c>
      <c r="N8" s="2" t="s">
        <v>4</v>
      </c>
      <c r="O8" s="2" t="s">
        <v>5</v>
      </c>
      <c r="P8" s="2" t="s">
        <v>24</v>
      </c>
      <c r="Q8" s="2" t="s">
        <v>7</v>
      </c>
      <c r="R8" s="11" t="s">
        <v>8</v>
      </c>
      <c r="S8" s="2" t="s">
        <v>26</v>
      </c>
      <c r="T8" s="2" t="s">
        <v>10</v>
      </c>
      <c r="U8" s="2" t="s">
        <v>4</v>
      </c>
      <c r="V8" s="2" t="s">
        <v>11</v>
      </c>
      <c r="W8" s="2" t="s">
        <v>28</v>
      </c>
      <c r="X8" s="2" t="s">
        <v>21</v>
      </c>
      <c r="Y8" s="2" t="s">
        <v>22</v>
      </c>
    </row>
    <row r="9" spans="1:25" x14ac:dyDescent="0.25">
      <c r="A9" s="2" t="s">
        <v>23</v>
      </c>
      <c r="B9" s="8">
        <v>21</v>
      </c>
      <c r="C9" s="4" t="str" cm="1">
        <f t="array" ref="C9">_xlfn.IFS(AND(B9&gt;=21,B9&lt;=25),"Early Adulthood",AND(B9&gt;=26,B9&lt;=30),"Established Adulthood",AND(B9&gt;=31,B9&lt;=35),"Experienced Adulthood")</f>
        <v>Early Adulthood</v>
      </c>
      <c r="D9" s="2" t="s">
        <v>2</v>
      </c>
      <c r="E9" s="8">
        <v>2</v>
      </c>
      <c r="F9" s="8">
        <v>3</v>
      </c>
      <c r="G9" s="8">
        <v>7</v>
      </c>
      <c r="H9" s="8">
        <v>4</v>
      </c>
      <c r="I9" s="8">
        <v>6</v>
      </c>
      <c r="J9" s="8">
        <v>1</v>
      </c>
      <c r="K9" s="8">
        <v>5</v>
      </c>
      <c r="L9" s="2" t="s">
        <v>2</v>
      </c>
      <c r="M9" s="2" t="s">
        <v>37</v>
      </c>
      <c r="N9" s="2" t="s">
        <v>4</v>
      </c>
      <c r="O9" s="2" t="s">
        <v>5</v>
      </c>
      <c r="P9" s="2" t="s">
        <v>24</v>
      </c>
      <c r="Q9" s="2" t="s">
        <v>7</v>
      </c>
      <c r="R9" s="11" t="s">
        <v>8</v>
      </c>
      <c r="S9" s="2" t="s">
        <v>9</v>
      </c>
      <c r="T9" s="2" t="s">
        <v>10</v>
      </c>
      <c r="U9" s="2" t="s">
        <v>4</v>
      </c>
      <c r="V9" s="2" t="s">
        <v>11</v>
      </c>
      <c r="W9" s="2" t="s">
        <v>28</v>
      </c>
      <c r="X9" s="2" t="s">
        <v>36</v>
      </c>
      <c r="Y9" s="2" t="s">
        <v>14</v>
      </c>
    </row>
    <row r="10" spans="1:25" x14ac:dyDescent="0.25">
      <c r="A10" s="2" t="s">
        <v>23</v>
      </c>
      <c r="B10" s="8">
        <v>35</v>
      </c>
      <c r="C10" s="4" t="str" cm="1">
        <f t="array" ref="C10">_xlfn.IFS(AND(B10&gt;=21,B10&lt;=25),"Early Adulthood",AND(B10&gt;=26,B10&lt;=30),"Established Adulthood",AND(B10&gt;=31,B10&lt;=35),"Experienced Adulthood")</f>
        <v>Experienced Adulthood</v>
      </c>
      <c r="D10" s="2" t="s">
        <v>2</v>
      </c>
      <c r="E10" s="8">
        <v>2</v>
      </c>
      <c r="F10" s="8">
        <v>4</v>
      </c>
      <c r="G10" s="8">
        <v>7</v>
      </c>
      <c r="H10" s="8">
        <v>5</v>
      </c>
      <c r="I10" s="8">
        <v>3</v>
      </c>
      <c r="J10" s="8">
        <v>1</v>
      </c>
      <c r="K10" s="8">
        <v>6</v>
      </c>
      <c r="L10" s="2" t="s">
        <v>2</v>
      </c>
      <c r="M10" s="2" t="s">
        <v>3</v>
      </c>
      <c r="N10" s="2" t="s">
        <v>40</v>
      </c>
      <c r="O10" s="2" t="s">
        <v>41</v>
      </c>
      <c r="P10" s="2" t="s">
        <v>6</v>
      </c>
      <c r="Q10" s="2" t="s">
        <v>18</v>
      </c>
      <c r="R10" s="11" t="s">
        <v>8</v>
      </c>
      <c r="S10" s="2" t="s">
        <v>26</v>
      </c>
      <c r="T10" s="2" t="s">
        <v>10</v>
      </c>
      <c r="U10" s="2" t="s">
        <v>4</v>
      </c>
      <c r="V10" s="2" t="s">
        <v>33</v>
      </c>
      <c r="W10" s="2" t="s">
        <v>12</v>
      </c>
      <c r="X10" s="2" t="s">
        <v>13</v>
      </c>
      <c r="Y10" s="2" t="s">
        <v>29</v>
      </c>
    </row>
    <row r="11" spans="1:25" x14ac:dyDescent="0.25">
      <c r="A11" s="2" t="s">
        <v>23</v>
      </c>
      <c r="B11" s="8">
        <v>31</v>
      </c>
      <c r="C11" s="4" t="str" cm="1">
        <f t="array" ref="C11">_xlfn.IFS(AND(B11&gt;=21,B11&lt;=25),"Early Adulthood",AND(B11&gt;=26,B11&lt;=30),"Established Adulthood",AND(B11&gt;=31,B11&lt;=35),"Experienced Adulthood")</f>
        <v>Experienced Adulthood</v>
      </c>
      <c r="D11" s="2" t="s">
        <v>2</v>
      </c>
      <c r="E11" s="8">
        <v>1</v>
      </c>
      <c r="F11" s="8">
        <v>3</v>
      </c>
      <c r="G11" s="8">
        <v>7</v>
      </c>
      <c r="H11" s="8">
        <v>4</v>
      </c>
      <c r="I11" s="8">
        <v>5</v>
      </c>
      <c r="J11" s="8">
        <v>2</v>
      </c>
      <c r="K11" s="8">
        <v>6</v>
      </c>
      <c r="L11" s="2" t="s">
        <v>2</v>
      </c>
      <c r="M11" s="2" t="s">
        <v>3</v>
      </c>
      <c r="N11" s="2" t="s">
        <v>4</v>
      </c>
      <c r="O11" s="2" t="s">
        <v>5</v>
      </c>
      <c r="P11" s="2" t="s">
        <v>24</v>
      </c>
      <c r="Q11" s="2" t="s">
        <v>7</v>
      </c>
      <c r="R11" s="11" t="s">
        <v>38</v>
      </c>
      <c r="S11" s="2" t="s">
        <v>42</v>
      </c>
      <c r="T11" s="2" t="s">
        <v>10</v>
      </c>
      <c r="U11" s="2" t="s">
        <v>4</v>
      </c>
      <c r="V11" s="2" t="s">
        <v>33</v>
      </c>
      <c r="W11" s="2" t="s">
        <v>28</v>
      </c>
      <c r="X11" s="2" t="s">
        <v>13</v>
      </c>
      <c r="Y11" s="2" t="s">
        <v>14</v>
      </c>
    </row>
    <row r="12" spans="1:25" x14ac:dyDescent="0.25">
      <c r="A12" s="2" t="s">
        <v>1</v>
      </c>
      <c r="B12" s="8">
        <v>35</v>
      </c>
      <c r="C12" s="4" t="str" cm="1">
        <f t="array" ref="C12">_xlfn.IFS(AND(B12&gt;=21,B12&lt;=25),"Early Adulthood",AND(B12&gt;=26,B12&lt;=30),"Established Adulthood",AND(B12&gt;=31,B12&lt;=35),"Experienced Adulthood")</f>
        <v>Experienced Adulthood</v>
      </c>
      <c r="D12" s="2" t="s">
        <v>2</v>
      </c>
      <c r="E12" s="8">
        <v>2</v>
      </c>
      <c r="F12" s="8">
        <v>4</v>
      </c>
      <c r="G12" s="8">
        <v>7</v>
      </c>
      <c r="H12" s="8">
        <v>5</v>
      </c>
      <c r="I12" s="8">
        <v>3</v>
      </c>
      <c r="J12" s="8">
        <v>1</v>
      </c>
      <c r="K12" s="8">
        <v>6</v>
      </c>
      <c r="L12" s="2" t="s">
        <v>2</v>
      </c>
      <c r="M12" s="2" t="s">
        <v>37</v>
      </c>
      <c r="N12" s="2" t="s">
        <v>40</v>
      </c>
      <c r="O12" s="2" t="s">
        <v>41</v>
      </c>
      <c r="P12" s="2" t="s">
        <v>24</v>
      </c>
      <c r="Q12" s="2" t="s">
        <v>7</v>
      </c>
      <c r="R12" s="11" t="s">
        <v>8</v>
      </c>
      <c r="S12" s="2" t="s">
        <v>9</v>
      </c>
      <c r="T12" s="2" t="s">
        <v>10</v>
      </c>
      <c r="U12" s="2" t="s">
        <v>4</v>
      </c>
      <c r="V12" s="2" t="s">
        <v>11</v>
      </c>
      <c r="W12" s="2" t="s">
        <v>28</v>
      </c>
      <c r="X12" s="2" t="s">
        <v>36</v>
      </c>
      <c r="Y12" s="2" t="s">
        <v>22</v>
      </c>
    </row>
    <row r="13" spans="1:25" x14ac:dyDescent="0.25">
      <c r="A13" s="2" t="s">
        <v>23</v>
      </c>
      <c r="B13" s="8">
        <v>29</v>
      </c>
      <c r="C13" s="4" t="str" cm="1">
        <f t="array" ref="C13">_xlfn.IFS(AND(B13&gt;=21,B13&lt;=25),"Early Adulthood",AND(B13&gt;=26,B13&lt;=30),"Established Adulthood",AND(B13&gt;=31,B13&lt;=35),"Experienced Adulthood")</f>
        <v>Established Adulthood</v>
      </c>
      <c r="D13" s="2" t="s">
        <v>2</v>
      </c>
      <c r="E13" s="8">
        <v>2</v>
      </c>
      <c r="F13" s="8">
        <v>5</v>
      </c>
      <c r="G13" s="8">
        <v>7</v>
      </c>
      <c r="H13" s="8">
        <v>6</v>
      </c>
      <c r="I13" s="8">
        <v>3</v>
      </c>
      <c r="J13" s="8">
        <v>1</v>
      </c>
      <c r="K13" s="8">
        <v>4</v>
      </c>
      <c r="L13" s="2" t="s">
        <v>2</v>
      </c>
      <c r="M13" s="2" t="s">
        <v>37</v>
      </c>
      <c r="N13" s="2" t="s">
        <v>4</v>
      </c>
      <c r="O13" s="2" t="s">
        <v>5</v>
      </c>
      <c r="P13" s="2" t="s">
        <v>6</v>
      </c>
      <c r="Q13" s="2" t="s">
        <v>7</v>
      </c>
      <c r="R13" s="11" t="s">
        <v>8</v>
      </c>
      <c r="S13" s="2" t="s">
        <v>9</v>
      </c>
      <c r="T13" s="2" t="s">
        <v>10</v>
      </c>
      <c r="U13" s="2" t="s">
        <v>4</v>
      </c>
      <c r="V13" s="2" t="s">
        <v>33</v>
      </c>
      <c r="W13" s="2" t="s">
        <v>28</v>
      </c>
      <c r="X13" s="2" t="s">
        <v>13</v>
      </c>
      <c r="Y13" s="2" t="s">
        <v>22</v>
      </c>
    </row>
    <row r="14" spans="1:25" x14ac:dyDescent="0.25">
      <c r="A14" s="2" t="s">
        <v>1</v>
      </c>
      <c r="B14" s="8">
        <v>21</v>
      </c>
      <c r="C14" s="4" t="str" cm="1">
        <f t="array" ref="C14">_xlfn.IFS(AND(B14&gt;=21,B14&lt;=25),"Early Adulthood",AND(B14&gt;=26,B14&lt;=30),"Established Adulthood",AND(B14&gt;=31,B14&lt;=35),"Experienced Adulthood")</f>
        <v>Early Adulthood</v>
      </c>
      <c r="D14" s="2" t="s">
        <v>15</v>
      </c>
      <c r="E14" s="8">
        <v>1</v>
      </c>
      <c r="F14" s="8">
        <v>2</v>
      </c>
      <c r="G14" s="8">
        <v>3</v>
      </c>
      <c r="H14" s="8">
        <v>4</v>
      </c>
      <c r="I14" s="8">
        <v>5</v>
      </c>
      <c r="J14" s="8">
        <v>6</v>
      </c>
      <c r="K14" s="8">
        <v>7</v>
      </c>
      <c r="L14" s="2" t="s">
        <v>15</v>
      </c>
      <c r="M14" s="2" t="s">
        <v>3</v>
      </c>
      <c r="N14" s="2" t="s">
        <v>4</v>
      </c>
      <c r="O14" s="2" t="s">
        <v>41</v>
      </c>
      <c r="P14" s="2" t="s">
        <v>6</v>
      </c>
      <c r="Q14" s="2" t="s">
        <v>18</v>
      </c>
      <c r="R14" s="11" t="s">
        <v>8</v>
      </c>
      <c r="S14" s="2" t="s">
        <v>9</v>
      </c>
      <c r="T14" s="2" t="s">
        <v>43</v>
      </c>
      <c r="U14" s="2" t="s">
        <v>20</v>
      </c>
      <c r="V14" s="2" t="s">
        <v>11</v>
      </c>
      <c r="W14" s="2" t="s">
        <v>12</v>
      </c>
      <c r="X14" s="2" t="s">
        <v>36</v>
      </c>
      <c r="Y14" s="2" t="s">
        <v>35</v>
      </c>
    </row>
    <row r="15" spans="1:25" x14ac:dyDescent="0.25">
      <c r="A15" s="2" t="s">
        <v>1</v>
      </c>
      <c r="B15" s="8">
        <v>28</v>
      </c>
      <c r="C15" s="4" t="str" cm="1">
        <f t="array" ref="C15">_xlfn.IFS(AND(B15&gt;=21,B15&lt;=25),"Early Adulthood",AND(B15&gt;=26,B15&lt;=30),"Established Adulthood",AND(B15&gt;=31,B15&lt;=35),"Experienced Adulthood")</f>
        <v>Established Adulthood</v>
      </c>
      <c r="D15" s="2" t="s">
        <v>2</v>
      </c>
      <c r="E15" s="8">
        <v>2</v>
      </c>
      <c r="F15" s="8">
        <v>3</v>
      </c>
      <c r="G15" s="8">
        <v>7</v>
      </c>
      <c r="H15" s="8">
        <v>4</v>
      </c>
      <c r="I15" s="8">
        <v>5</v>
      </c>
      <c r="J15" s="8">
        <v>1</v>
      </c>
      <c r="K15" s="8">
        <v>6</v>
      </c>
      <c r="L15" s="2" t="s">
        <v>2</v>
      </c>
      <c r="M15" s="2" t="s">
        <v>3</v>
      </c>
      <c r="N15" s="2" t="s">
        <v>4</v>
      </c>
      <c r="O15" s="2" t="s">
        <v>5</v>
      </c>
      <c r="P15" s="2" t="s">
        <v>6</v>
      </c>
      <c r="Q15" s="2" t="s">
        <v>7</v>
      </c>
      <c r="R15" s="11" t="s">
        <v>8</v>
      </c>
      <c r="S15" s="2" t="s">
        <v>9</v>
      </c>
      <c r="T15" s="2" t="s">
        <v>10</v>
      </c>
      <c r="U15" s="2" t="s">
        <v>4</v>
      </c>
      <c r="V15" s="2" t="s">
        <v>33</v>
      </c>
      <c r="W15" s="2" t="s">
        <v>28</v>
      </c>
      <c r="X15" s="2" t="s">
        <v>36</v>
      </c>
      <c r="Y15" s="2" t="s">
        <v>14</v>
      </c>
    </row>
    <row r="16" spans="1:25" x14ac:dyDescent="0.25">
      <c r="A16" s="2" t="s">
        <v>1</v>
      </c>
      <c r="B16" s="8">
        <v>25</v>
      </c>
      <c r="C16" s="4" t="str" cm="1">
        <f t="array" ref="C16">_xlfn.IFS(AND(B16&gt;=21,B16&lt;=25),"Early Adulthood",AND(B16&gt;=26,B16&lt;=30),"Established Adulthood",AND(B16&gt;=31,B16&lt;=35),"Experienced Adulthood")</f>
        <v>Early Adulthood</v>
      </c>
      <c r="D16" s="2" t="s">
        <v>2</v>
      </c>
      <c r="E16" s="8">
        <v>2</v>
      </c>
      <c r="F16" s="8">
        <v>3</v>
      </c>
      <c r="G16" s="8">
        <v>7</v>
      </c>
      <c r="H16" s="8">
        <v>5</v>
      </c>
      <c r="I16" s="8">
        <v>4</v>
      </c>
      <c r="J16" s="8">
        <v>1</v>
      </c>
      <c r="K16" s="8">
        <v>6</v>
      </c>
      <c r="L16" s="2" t="s">
        <v>2</v>
      </c>
      <c r="M16" s="2" t="s">
        <v>3</v>
      </c>
      <c r="N16" s="2" t="s">
        <v>4</v>
      </c>
      <c r="O16" s="2" t="s">
        <v>5</v>
      </c>
      <c r="P16" s="2" t="s">
        <v>6</v>
      </c>
      <c r="Q16" s="2" t="s">
        <v>7</v>
      </c>
      <c r="R16" s="11" t="s">
        <v>8</v>
      </c>
      <c r="S16" s="2" t="s">
        <v>42</v>
      </c>
      <c r="T16" s="2" t="s">
        <v>19</v>
      </c>
      <c r="U16" s="2" t="s">
        <v>20</v>
      </c>
      <c r="V16" s="2" t="s">
        <v>11</v>
      </c>
      <c r="W16" s="2" t="s">
        <v>28</v>
      </c>
      <c r="X16" s="2" t="s">
        <v>36</v>
      </c>
      <c r="Y16" s="2" t="s">
        <v>22</v>
      </c>
    </row>
    <row r="17" spans="1:25" x14ac:dyDescent="0.25">
      <c r="A17" s="2" t="s">
        <v>23</v>
      </c>
      <c r="B17" s="8">
        <v>27</v>
      </c>
      <c r="C17" s="4" t="str" cm="1">
        <f t="array" ref="C17">_xlfn.IFS(AND(B17&gt;=21,B17&lt;=25),"Early Adulthood",AND(B17&gt;=26,B17&lt;=30),"Established Adulthood",AND(B17&gt;=31,B17&lt;=35),"Experienced Adulthood")</f>
        <v>Established Adulthood</v>
      </c>
      <c r="D17" s="2" t="s">
        <v>2</v>
      </c>
      <c r="E17" s="8">
        <v>2</v>
      </c>
      <c r="F17" s="8">
        <v>3</v>
      </c>
      <c r="G17" s="8">
        <v>7</v>
      </c>
      <c r="H17" s="8">
        <v>5</v>
      </c>
      <c r="I17" s="8">
        <v>4</v>
      </c>
      <c r="J17" s="8">
        <v>1</v>
      </c>
      <c r="K17" s="8">
        <v>6</v>
      </c>
      <c r="L17" s="2" t="s">
        <v>2</v>
      </c>
      <c r="M17" s="2" t="s">
        <v>3</v>
      </c>
      <c r="N17" s="2" t="s">
        <v>4</v>
      </c>
      <c r="O17" s="2" t="s">
        <v>5</v>
      </c>
      <c r="P17" s="2" t="s">
        <v>6</v>
      </c>
      <c r="Q17" s="2" t="s">
        <v>7</v>
      </c>
      <c r="R17" s="11" t="s">
        <v>8</v>
      </c>
      <c r="S17" s="2" t="s">
        <v>9</v>
      </c>
      <c r="T17" s="2" t="s">
        <v>19</v>
      </c>
      <c r="U17" s="2" t="s">
        <v>4</v>
      </c>
      <c r="V17" s="2" t="s">
        <v>33</v>
      </c>
      <c r="W17" s="2" t="s">
        <v>28</v>
      </c>
      <c r="X17" s="2" t="s">
        <v>36</v>
      </c>
      <c r="Y17" s="2" t="s">
        <v>14</v>
      </c>
    </row>
    <row r="18" spans="1:25" x14ac:dyDescent="0.25">
      <c r="A18" s="2" t="s">
        <v>1</v>
      </c>
      <c r="B18" s="8">
        <v>28</v>
      </c>
      <c r="C18" s="4" t="str" cm="1">
        <f t="array" ref="C18">_xlfn.IFS(AND(B18&gt;=21,B18&lt;=25),"Early Adulthood",AND(B18&gt;=26,B18&lt;=30),"Established Adulthood",AND(B18&gt;=31,B18&lt;=35),"Experienced Adulthood")</f>
        <v>Established Adulthood</v>
      </c>
      <c r="D18" s="2" t="s">
        <v>2</v>
      </c>
      <c r="E18" s="8">
        <v>3</v>
      </c>
      <c r="F18" s="8">
        <v>2</v>
      </c>
      <c r="G18" s="8">
        <v>7</v>
      </c>
      <c r="H18" s="8">
        <v>5</v>
      </c>
      <c r="I18" s="8">
        <v>4</v>
      </c>
      <c r="J18" s="8">
        <v>1</v>
      </c>
      <c r="K18" s="8">
        <v>6</v>
      </c>
      <c r="L18" s="2" t="s">
        <v>2</v>
      </c>
      <c r="M18" s="2" t="s">
        <v>37</v>
      </c>
      <c r="N18" s="2" t="s">
        <v>40</v>
      </c>
      <c r="O18" s="2" t="s">
        <v>5</v>
      </c>
      <c r="P18" s="2" t="s">
        <v>6</v>
      </c>
      <c r="Q18" s="2" t="s">
        <v>7</v>
      </c>
      <c r="R18" s="11" t="s">
        <v>8</v>
      </c>
      <c r="S18" s="2" t="s">
        <v>42</v>
      </c>
      <c r="T18" s="2" t="s">
        <v>19</v>
      </c>
      <c r="U18" s="2" t="s">
        <v>4</v>
      </c>
      <c r="V18" s="2" t="s">
        <v>33</v>
      </c>
      <c r="W18" s="2" t="s">
        <v>28</v>
      </c>
      <c r="X18" s="2" t="s">
        <v>36</v>
      </c>
      <c r="Y18" s="2" t="s">
        <v>29</v>
      </c>
    </row>
    <row r="19" spans="1:25" x14ac:dyDescent="0.25">
      <c r="A19" s="2" t="s">
        <v>23</v>
      </c>
      <c r="B19" s="8">
        <v>27</v>
      </c>
      <c r="C19" s="4" t="str" cm="1">
        <f t="array" ref="C19">_xlfn.IFS(AND(B19&gt;=21,B19&lt;=25),"Early Adulthood",AND(B19&gt;=26,B19&lt;=30),"Established Adulthood",AND(B19&gt;=31,B19&lt;=35),"Experienced Adulthood")</f>
        <v>Established Adulthood</v>
      </c>
      <c r="D19" s="2" t="s">
        <v>2</v>
      </c>
      <c r="E19" s="8">
        <v>3</v>
      </c>
      <c r="F19" s="8">
        <v>2</v>
      </c>
      <c r="G19" s="8">
        <v>7</v>
      </c>
      <c r="H19" s="8">
        <v>4</v>
      </c>
      <c r="I19" s="8">
        <v>5</v>
      </c>
      <c r="J19" s="8">
        <v>1</v>
      </c>
      <c r="K19" s="8">
        <v>6</v>
      </c>
      <c r="L19" s="2" t="s">
        <v>2</v>
      </c>
      <c r="M19" s="2" t="s">
        <v>3</v>
      </c>
      <c r="N19" s="2" t="s">
        <v>4</v>
      </c>
      <c r="O19" s="2" t="s">
        <v>5</v>
      </c>
      <c r="P19" s="2" t="s">
        <v>6</v>
      </c>
      <c r="Q19" s="2" t="s">
        <v>7</v>
      </c>
      <c r="R19" s="11" t="s">
        <v>8</v>
      </c>
      <c r="S19" s="2" t="s">
        <v>9</v>
      </c>
      <c r="T19" s="2" t="s">
        <v>10</v>
      </c>
      <c r="U19" s="2" t="s">
        <v>4</v>
      </c>
      <c r="V19" s="2" t="s">
        <v>11</v>
      </c>
      <c r="W19" s="2" t="s">
        <v>28</v>
      </c>
      <c r="X19" s="2" t="s">
        <v>36</v>
      </c>
      <c r="Y19" s="2" t="s">
        <v>22</v>
      </c>
    </row>
    <row r="20" spans="1:25" x14ac:dyDescent="0.25">
      <c r="A20" s="2" t="s">
        <v>23</v>
      </c>
      <c r="B20" s="8">
        <v>29</v>
      </c>
      <c r="C20" s="4" t="str" cm="1">
        <f t="array" ref="C20">_xlfn.IFS(AND(B20&gt;=21,B20&lt;=25),"Early Adulthood",AND(B20&gt;=26,B20&lt;=30),"Established Adulthood",AND(B20&gt;=31,B20&lt;=35),"Experienced Adulthood")</f>
        <v>Established Adulthood</v>
      </c>
      <c r="D20" s="2" t="s">
        <v>2</v>
      </c>
      <c r="E20" s="8">
        <v>3</v>
      </c>
      <c r="F20" s="8">
        <v>2</v>
      </c>
      <c r="G20" s="8">
        <v>7</v>
      </c>
      <c r="H20" s="8">
        <v>4</v>
      </c>
      <c r="I20" s="8">
        <v>5</v>
      </c>
      <c r="J20" s="8">
        <v>1</v>
      </c>
      <c r="K20" s="8">
        <v>6</v>
      </c>
      <c r="L20" s="2" t="s">
        <v>2</v>
      </c>
      <c r="M20" s="2" t="s">
        <v>37</v>
      </c>
      <c r="N20" s="2" t="s">
        <v>4</v>
      </c>
      <c r="O20" s="2" t="s">
        <v>5</v>
      </c>
      <c r="P20" s="2" t="s">
        <v>6</v>
      </c>
      <c r="Q20" s="2" t="s">
        <v>7</v>
      </c>
      <c r="R20" s="11" t="s">
        <v>8</v>
      </c>
      <c r="S20" s="2" t="s">
        <v>9</v>
      </c>
      <c r="T20" s="2" t="s">
        <v>10</v>
      </c>
      <c r="U20" s="2" t="s">
        <v>4</v>
      </c>
      <c r="V20" s="2" t="s">
        <v>11</v>
      </c>
      <c r="W20" s="2" t="s">
        <v>28</v>
      </c>
      <c r="X20" s="2" t="s">
        <v>36</v>
      </c>
      <c r="Y20" s="2" t="s">
        <v>14</v>
      </c>
    </row>
    <row r="21" spans="1:25" x14ac:dyDescent="0.25">
      <c r="A21" s="2" t="s">
        <v>23</v>
      </c>
      <c r="B21" s="8">
        <v>26</v>
      </c>
      <c r="C21" s="4" t="str" cm="1">
        <f t="array" ref="C21">_xlfn.IFS(AND(B21&gt;=21,B21&lt;=25),"Early Adulthood",AND(B21&gt;=26,B21&lt;=30),"Established Adulthood",AND(B21&gt;=31,B21&lt;=35),"Experienced Adulthood")</f>
        <v>Established Adulthood</v>
      </c>
      <c r="D21" s="2" t="s">
        <v>2</v>
      </c>
      <c r="E21" s="8">
        <v>3</v>
      </c>
      <c r="F21" s="8">
        <v>4</v>
      </c>
      <c r="G21" s="8">
        <v>6</v>
      </c>
      <c r="H21" s="8">
        <v>5</v>
      </c>
      <c r="I21" s="8">
        <v>1</v>
      </c>
      <c r="J21" s="8">
        <v>2</v>
      </c>
      <c r="K21" s="8">
        <v>7</v>
      </c>
      <c r="L21" s="2" t="s">
        <v>2</v>
      </c>
      <c r="M21" s="2" t="s">
        <v>37</v>
      </c>
      <c r="N21" s="2" t="s">
        <v>4</v>
      </c>
      <c r="O21" s="2" t="s">
        <v>5</v>
      </c>
      <c r="P21" s="2" t="s">
        <v>24</v>
      </c>
      <c r="Q21" s="2" t="s">
        <v>7</v>
      </c>
      <c r="R21" s="11" t="s">
        <v>8</v>
      </c>
      <c r="S21" s="2" t="s">
        <v>42</v>
      </c>
      <c r="T21" s="2" t="s">
        <v>19</v>
      </c>
      <c r="U21" s="2" t="s">
        <v>4</v>
      </c>
      <c r="V21" s="2" t="s">
        <v>33</v>
      </c>
      <c r="W21" s="2" t="s">
        <v>28</v>
      </c>
      <c r="X21" s="2" t="s">
        <v>36</v>
      </c>
      <c r="Y21" s="2" t="s">
        <v>14</v>
      </c>
    </row>
    <row r="22" spans="1:25" x14ac:dyDescent="0.25">
      <c r="A22" s="2" t="s">
        <v>23</v>
      </c>
      <c r="B22" s="8">
        <v>29</v>
      </c>
      <c r="C22" s="4" t="str" cm="1">
        <f t="array" ref="C22">_xlfn.IFS(AND(B22&gt;=21,B22&lt;=25),"Early Adulthood",AND(B22&gt;=26,B22&lt;=30),"Established Adulthood",AND(B22&gt;=31,B22&lt;=35),"Experienced Adulthood")</f>
        <v>Established Adulthood</v>
      </c>
      <c r="D22" s="2" t="s">
        <v>2</v>
      </c>
      <c r="E22" s="8">
        <v>2</v>
      </c>
      <c r="F22" s="8">
        <v>4</v>
      </c>
      <c r="G22" s="8">
        <v>7</v>
      </c>
      <c r="H22" s="8">
        <v>5</v>
      </c>
      <c r="I22" s="8">
        <v>3</v>
      </c>
      <c r="J22" s="8">
        <v>1</v>
      </c>
      <c r="K22" s="8">
        <v>6</v>
      </c>
      <c r="L22" s="2" t="s">
        <v>2</v>
      </c>
      <c r="M22" s="2" t="s">
        <v>3</v>
      </c>
      <c r="N22" s="2" t="s">
        <v>40</v>
      </c>
      <c r="O22" s="2" t="s">
        <v>5</v>
      </c>
      <c r="P22" s="2" t="s">
        <v>24</v>
      </c>
      <c r="Q22" s="2" t="s">
        <v>18</v>
      </c>
      <c r="R22" s="11" t="s">
        <v>8</v>
      </c>
      <c r="S22" s="2" t="s">
        <v>9</v>
      </c>
      <c r="T22" s="2" t="s">
        <v>10</v>
      </c>
      <c r="U22" s="2" t="s">
        <v>4</v>
      </c>
      <c r="V22" s="2" t="s">
        <v>11</v>
      </c>
      <c r="W22" s="2" t="s">
        <v>28</v>
      </c>
      <c r="X22" s="2" t="s">
        <v>13</v>
      </c>
      <c r="Y22" s="2" t="s">
        <v>22</v>
      </c>
    </row>
    <row r="23" spans="1:25" x14ac:dyDescent="0.25">
      <c r="A23" s="2" t="s">
        <v>1</v>
      </c>
      <c r="B23" s="8">
        <v>24</v>
      </c>
      <c r="C23" s="4" t="str" cm="1">
        <f t="array" ref="C23">_xlfn.IFS(AND(B23&gt;=21,B23&lt;=25),"Early Adulthood",AND(B23&gt;=26,B23&lt;=30),"Established Adulthood",AND(B23&gt;=31,B23&lt;=35),"Experienced Adulthood")</f>
        <v>Early Adulthood</v>
      </c>
      <c r="D23" s="2" t="s">
        <v>2</v>
      </c>
      <c r="E23" s="8">
        <v>2</v>
      </c>
      <c r="F23" s="8">
        <v>4</v>
      </c>
      <c r="G23" s="8">
        <v>5</v>
      </c>
      <c r="H23" s="8">
        <v>6</v>
      </c>
      <c r="I23" s="8">
        <v>3</v>
      </c>
      <c r="J23" s="8">
        <v>1</v>
      </c>
      <c r="K23" s="8">
        <v>7</v>
      </c>
      <c r="L23" s="2" t="s">
        <v>2</v>
      </c>
      <c r="M23" s="2" t="s">
        <v>37</v>
      </c>
      <c r="N23" s="2" t="s">
        <v>4</v>
      </c>
      <c r="O23" s="2" t="s">
        <v>5</v>
      </c>
      <c r="P23" s="2" t="s">
        <v>24</v>
      </c>
      <c r="Q23" s="2" t="s">
        <v>7</v>
      </c>
      <c r="R23" s="11" t="s">
        <v>8</v>
      </c>
      <c r="S23" s="2" t="s">
        <v>26</v>
      </c>
      <c r="T23" s="2" t="s">
        <v>19</v>
      </c>
      <c r="U23" s="2" t="s">
        <v>4</v>
      </c>
      <c r="V23" s="2" t="s">
        <v>11</v>
      </c>
      <c r="W23" s="2" t="s">
        <v>28</v>
      </c>
      <c r="X23" s="2" t="s">
        <v>36</v>
      </c>
      <c r="Y23" s="2" t="s">
        <v>14</v>
      </c>
    </row>
    <row r="24" spans="1:25" x14ac:dyDescent="0.25">
      <c r="A24" s="2" t="s">
        <v>23</v>
      </c>
      <c r="B24" s="8">
        <v>27</v>
      </c>
      <c r="C24" s="4" t="str" cm="1">
        <f t="array" ref="C24">_xlfn.IFS(AND(B24&gt;=21,B24&lt;=25),"Early Adulthood",AND(B24&gt;=26,B24&lt;=30),"Established Adulthood",AND(B24&gt;=31,B24&lt;=35),"Experienced Adulthood")</f>
        <v>Established Adulthood</v>
      </c>
      <c r="D24" s="2" t="s">
        <v>2</v>
      </c>
      <c r="E24" s="8">
        <v>3</v>
      </c>
      <c r="F24" s="8">
        <v>4</v>
      </c>
      <c r="G24" s="8">
        <v>6</v>
      </c>
      <c r="H24" s="8">
        <v>5</v>
      </c>
      <c r="I24" s="8">
        <v>2</v>
      </c>
      <c r="J24" s="8">
        <v>1</v>
      </c>
      <c r="K24" s="8">
        <v>7</v>
      </c>
      <c r="L24" s="2" t="s">
        <v>2</v>
      </c>
      <c r="M24" s="2" t="s">
        <v>3</v>
      </c>
      <c r="N24" s="2" t="s">
        <v>4</v>
      </c>
      <c r="O24" s="2" t="s">
        <v>5</v>
      </c>
      <c r="P24" s="2" t="s">
        <v>24</v>
      </c>
      <c r="Q24" s="2" t="s">
        <v>7</v>
      </c>
      <c r="R24" s="11" t="s">
        <v>8</v>
      </c>
      <c r="S24" s="2" t="s">
        <v>9</v>
      </c>
      <c r="T24" s="2" t="s">
        <v>10</v>
      </c>
      <c r="U24" s="2" t="s">
        <v>4</v>
      </c>
      <c r="V24" s="2" t="s">
        <v>11</v>
      </c>
      <c r="W24" s="2" t="s">
        <v>28</v>
      </c>
      <c r="X24" s="2" t="s">
        <v>36</v>
      </c>
      <c r="Y24" s="2" t="s">
        <v>22</v>
      </c>
    </row>
    <row r="25" spans="1:25" x14ac:dyDescent="0.25">
      <c r="A25" s="2" t="s">
        <v>23</v>
      </c>
      <c r="B25" s="8">
        <v>25</v>
      </c>
      <c r="C25" s="4" t="str" cm="1">
        <f t="array" ref="C25">_xlfn.IFS(AND(B25&gt;=21,B25&lt;=25),"Early Adulthood",AND(B25&gt;=26,B25&lt;=30),"Established Adulthood",AND(B25&gt;=31,B25&lt;=35),"Experienced Adulthood")</f>
        <v>Early Adulthood</v>
      </c>
      <c r="D25" s="2" t="s">
        <v>2</v>
      </c>
      <c r="E25" s="8">
        <v>2</v>
      </c>
      <c r="F25" s="8">
        <v>4</v>
      </c>
      <c r="G25" s="8">
        <v>6</v>
      </c>
      <c r="H25" s="8">
        <v>5</v>
      </c>
      <c r="I25" s="8">
        <v>3</v>
      </c>
      <c r="J25" s="8">
        <v>1</v>
      </c>
      <c r="K25" s="8">
        <v>7</v>
      </c>
      <c r="L25" s="2" t="s">
        <v>2</v>
      </c>
      <c r="M25" s="2" t="s">
        <v>37</v>
      </c>
      <c r="N25" s="2" t="s">
        <v>40</v>
      </c>
      <c r="O25" s="2" t="s">
        <v>41</v>
      </c>
      <c r="P25" s="2" t="s">
        <v>24</v>
      </c>
      <c r="Q25" s="2" t="s">
        <v>18</v>
      </c>
      <c r="R25" s="11" t="s">
        <v>8</v>
      </c>
      <c r="S25" s="2" t="s">
        <v>44</v>
      </c>
      <c r="T25" s="2" t="s">
        <v>19</v>
      </c>
      <c r="U25" s="2" t="s">
        <v>39</v>
      </c>
      <c r="V25" s="2" t="s">
        <v>11</v>
      </c>
      <c r="W25" s="2" t="s">
        <v>28</v>
      </c>
      <c r="X25" s="2" t="s">
        <v>36</v>
      </c>
      <c r="Y25" s="2" t="s">
        <v>22</v>
      </c>
    </row>
    <row r="26" spans="1:25" x14ac:dyDescent="0.25">
      <c r="A26" s="2" t="s">
        <v>1</v>
      </c>
      <c r="B26" s="8">
        <v>26</v>
      </c>
      <c r="C26" s="4" t="str" cm="1">
        <f t="array" ref="C26">_xlfn.IFS(AND(B26&gt;=21,B26&lt;=25),"Early Adulthood",AND(B26&gt;=26,B26&lt;=30),"Established Adulthood",AND(B26&gt;=31,B26&lt;=35),"Experienced Adulthood")</f>
        <v>Established Adulthood</v>
      </c>
      <c r="D26" s="2" t="s">
        <v>2</v>
      </c>
      <c r="E26" s="8">
        <v>2</v>
      </c>
      <c r="F26" s="8">
        <v>3</v>
      </c>
      <c r="G26" s="8">
        <v>7</v>
      </c>
      <c r="H26" s="8">
        <v>5</v>
      </c>
      <c r="I26" s="8">
        <v>4</v>
      </c>
      <c r="J26" s="8">
        <v>1</v>
      </c>
      <c r="K26" s="8">
        <v>6</v>
      </c>
      <c r="L26" s="2" t="s">
        <v>2</v>
      </c>
      <c r="M26" s="2" t="s">
        <v>3</v>
      </c>
      <c r="N26" s="2" t="s">
        <v>4</v>
      </c>
      <c r="O26" s="2" t="s">
        <v>5</v>
      </c>
      <c r="P26" s="2" t="s">
        <v>24</v>
      </c>
      <c r="Q26" s="2" t="s">
        <v>7</v>
      </c>
      <c r="R26" s="11" t="s">
        <v>38</v>
      </c>
      <c r="S26" s="2" t="s">
        <v>44</v>
      </c>
      <c r="T26" s="2" t="s">
        <v>10</v>
      </c>
      <c r="U26" s="2" t="s">
        <v>4</v>
      </c>
      <c r="V26" s="2" t="s">
        <v>11</v>
      </c>
      <c r="W26" s="2" t="s">
        <v>28</v>
      </c>
      <c r="X26" s="2" t="s">
        <v>36</v>
      </c>
      <c r="Y26" s="2" t="s">
        <v>14</v>
      </c>
    </row>
    <row r="27" spans="1:25" x14ac:dyDescent="0.25">
      <c r="A27" s="2" t="s">
        <v>1</v>
      </c>
      <c r="B27" s="8">
        <v>32</v>
      </c>
      <c r="C27" s="4" t="str" cm="1">
        <f t="array" ref="C27">_xlfn.IFS(AND(B27&gt;=21,B27&lt;=25),"Early Adulthood",AND(B27&gt;=26,B27&lt;=30),"Established Adulthood",AND(B27&gt;=31,B27&lt;=35),"Experienced Adulthood")</f>
        <v>Experienced Adulthood</v>
      </c>
      <c r="D27" s="2" t="s">
        <v>2</v>
      </c>
      <c r="E27" s="8">
        <v>3</v>
      </c>
      <c r="F27" s="8">
        <v>4</v>
      </c>
      <c r="G27" s="8">
        <v>7</v>
      </c>
      <c r="H27" s="8">
        <v>5</v>
      </c>
      <c r="I27" s="8">
        <v>1</v>
      </c>
      <c r="J27" s="8">
        <v>2</v>
      </c>
      <c r="K27" s="8">
        <v>6</v>
      </c>
      <c r="L27" s="2" t="s">
        <v>2</v>
      </c>
      <c r="M27" s="2" t="s">
        <v>37</v>
      </c>
      <c r="N27" s="2" t="s">
        <v>40</v>
      </c>
      <c r="O27" s="2" t="s">
        <v>5</v>
      </c>
      <c r="P27" s="2" t="s">
        <v>24</v>
      </c>
      <c r="Q27" s="2" t="s">
        <v>7</v>
      </c>
      <c r="R27" s="11" t="s">
        <v>8</v>
      </c>
      <c r="S27" s="2" t="s">
        <v>9</v>
      </c>
      <c r="T27" s="2" t="s">
        <v>10</v>
      </c>
      <c r="U27" s="2" t="s">
        <v>4</v>
      </c>
      <c r="V27" s="2" t="s">
        <v>11</v>
      </c>
      <c r="W27" s="2" t="s">
        <v>28</v>
      </c>
      <c r="X27" s="2" t="s">
        <v>13</v>
      </c>
      <c r="Y27" s="2" t="s">
        <v>22</v>
      </c>
    </row>
    <row r="28" spans="1:25" x14ac:dyDescent="0.25">
      <c r="A28" s="2" t="s">
        <v>23</v>
      </c>
      <c r="B28" s="8">
        <v>26</v>
      </c>
      <c r="C28" s="4" t="str" cm="1">
        <f t="array" ref="C28">_xlfn.IFS(AND(B28&gt;=21,B28&lt;=25),"Early Adulthood",AND(B28&gt;=26,B28&lt;=30),"Established Adulthood",AND(B28&gt;=31,B28&lt;=35),"Experienced Adulthood")</f>
        <v>Established Adulthood</v>
      </c>
      <c r="D28" s="2" t="s">
        <v>2</v>
      </c>
      <c r="E28" s="8">
        <v>3</v>
      </c>
      <c r="F28" s="8">
        <v>4</v>
      </c>
      <c r="G28" s="8">
        <v>6</v>
      </c>
      <c r="H28" s="8">
        <v>5</v>
      </c>
      <c r="I28" s="8">
        <v>1</v>
      </c>
      <c r="J28" s="8">
        <v>2</v>
      </c>
      <c r="K28" s="8">
        <v>7</v>
      </c>
      <c r="L28" s="2" t="s">
        <v>2</v>
      </c>
      <c r="M28" s="2" t="s">
        <v>3</v>
      </c>
      <c r="N28" s="2" t="s">
        <v>4</v>
      </c>
      <c r="O28" s="2" t="s">
        <v>5</v>
      </c>
      <c r="P28" s="2" t="s">
        <v>24</v>
      </c>
      <c r="Q28" s="2" t="s">
        <v>7</v>
      </c>
      <c r="R28" s="11" t="s">
        <v>8</v>
      </c>
      <c r="S28" s="2" t="s">
        <v>9</v>
      </c>
      <c r="T28" s="2" t="s">
        <v>10</v>
      </c>
      <c r="U28" s="2" t="s">
        <v>20</v>
      </c>
      <c r="V28" s="2" t="s">
        <v>33</v>
      </c>
      <c r="W28" s="2" t="s">
        <v>28</v>
      </c>
      <c r="X28" s="2" t="s">
        <v>13</v>
      </c>
      <c r="Y28" s="2" t="s">
        <v>22</v>
      </c>
    </row>
    <row r="29" spans="1:25" x14ac:dyDescent="0.25">
      <c r="A29" s="2" t="s">
        <v>23</v>
      </c>
      <c r="B29" s="8">
        <v>31</v>
      </c>
      <c r="C29" s="4" t="str" cm="1">
        <f t="array" ref="C29">_xlfn.IFS(AND(B29&gt;=21,B29&lt;=25),"Early Adulthood",AND(B29&gt;=26,B29&lt;=30),"Established Adulthood",AND(B29&gt;=31,B29&lt;=35),"Experienced Adulthood")</f>
        <v>Experienced Adulthood</v>
      </c>
      <c r="D29" s="2" t="s">
        <v>2</v>
      </c>
      <c r="E29" s="8">
        <v>2</v>
      </c>
      <c r="F29" s="8">
        <v>3</v>
      </c>
      <c r="G29" s="8">
        <v>7</v>
      </c>
      <c r="H29" s="8">
        <v>6</v>
      </c>
      <c r="I29" s="8">
        <v>4</v>
      </c>
      <c r="J29" s="8">
        <v>1</v>
      </c>
      <c r="K29" s="8">
        <v>5</v>
      </c>
      <c r="L29" s="2" t="s">
        <v>2</v>
      </c>
      <c r="M29" s="2" t="s">
        <v>37</v>
      </c>
      <c r="N29" s="2" t="s">
        <v>40</v>
      </c>
      <c r="O29" s="2" t="s">
        <v>41</v>
      </c>
      <c r="P29" s="2" t="s">
        <v>6</v>
      </c>
      <c r="Q29" s="2" t="s">
        <v>7</v>
      </c>
      <c r="R29" s="11" t="s">
        <v>8</v>
      </c>
      <c r="S29" s="2" t="s">
        <v>42</v>
      </c>
      <c r="T29" s="2" t="s">
        <v>19</v>
      </c>
      <c r="U29" s="2" t="s">
        <v>4</v>
      </c>
      <c r="V29" s="2" t="s">
        <v>33</v>
      </c>
      <c r="W29" s="2" t="s">
        <v>12</v>
      </c>
      <c r="X29" s="2" t="s">
        <v>13</v>
      </c>
      <c r="Y29" s="2" t="s">
        <v>29</v>
      </c>
    </row>
    <row r="30" spans="1:25" x14ac:dyDescent="0.25">
      <c r="A30" s="2" t="s">
        <v>23</v>
      </c>
      <c r="B30" s="8">
        <v>29</v>
      </c>
      <c r="C30" s="4" t="str" cm="1">
        <f t="array" ref="C30">_xlfn.IFS(AND(B30&gt;=21,B30&lt;=25),"Early Adulthood",AND(B30&gt;=26,B30&lt;=30),"Established Adulthood",AND(B30&gt;=31,B30&lt;=35),"Experienced Adulthood")</f>
        <v>Established Adulthood</v>
      </c>
      <c r="D30" s="2" t="s">
        <v>2</v>
      </c>
      <c r="E30" s="8">
        <v>2</v>
      </c>
      <c r="F30" s="8">
        <v>3</v>
      </c>
      <c r="G30" s="8">
        <v>6</v>
      </c>
      <c r="H30" s="8">
        <v>5</v>
      </c>
      <c r="I30" s="8">
        <v>1</v>
      </c>
      <c r="J30" s="8">
        <v>4</v>
      </c>
      <c r="K30" s="8">
        <v>7</v>
      </c>
      <c r="L30" s="2" t="s">
        <v>2</v>
      </c>
      <c r="M30" s="2" t="s">
        <v>3</v>
      </c>
      <c r="N30" s="2" t="s">
        <v>4</v>
      </c>
      <c r="O30" s="2" t="s">
        <v>5</v>
      </c>
      <c r="P30" s="2" t="s">
        <v>6</v>
      </c>
      <c r="Q30" s="2" t="s">
        <v>7</v>
      </c>
      <c r="R30" s="11" t="s">
        <v>8</v>
      </c>
      <c r="S30" s="2" t="s">
        <v>26</v>
      </c>
      <c r="T30" s="2" t="s">
        <v>10</v>
      </c>
      <c r="U30" s="2" t="s">
        <v>4</v>
      </c>
      <c r="V30" s="2" t="s">
        <v>11</v>
      </c>
      <c r="W30" s="2" t="s">
        <v>28</v>
      </c>
      <c r="X30" s="2" t="s">
        <v>36</v>
      </c>
      <c r="Y30" s="2" t="s">
        <v>29</v>
      </c>
    </row>
    <row r="31" spans="1:25" x14ac:dyDescent="0.25">
      <c r="A31" s="2" t="s">
        <v>1</v>
      </c>
      <c r="B31" s="8">
        <v>34</v>
      </c>
      <c r="C31" s="4" t="str" cm="1">
        <f t="array" ref="C31">_xlfn.IFS(AND(B31&gt;=21,B31&lt;=25),"Early Adulthood",AND(B31&gt;=26,B31&lt;=30),"Established Adulthood",AND(B31&gt;=31,B31&lt;=35),"Experienced Adulthood")</f>
        <v>Experienced Adulthood</v>
      </c>
      <c r="D31" s="2" t="s">
        <v>2</v>
      </c>
      <c r="E31" s="8">
        <v>5</v>
      </c>
      <c r="F31" s="8">
        <v>4</v>
      </c>
      <c r="G31" s="8">
        <v>3</v>
      </c>
      <c r="H31" s="8">
        <v>2</v>
      </c>
      <c r="I31" s="8">
        <v>7</v>
      </c>
      <c r="J31" s="8">
        <v>1</v>
      </c>
      <c r="K31" s="8">
        <v>6</v>
      </c>
      <c r="L31" s="2" t="s">
        <v>2</v>
      </c>
      <c r="M31" s="2" t="s">
        <v>3</v>
      </c>
      <c r="N31" s="2" t="s">
        <v>30</v>
      </c>
      <c r="O31" s="2" t="s">
        <v>3</v>
      </c>
      <c r="P31" s="2" t="s">
        <v>24</v>
      </c>
      <c r="Q31" s="2" t="s">
        <v>7</v>
      </c>
      <c r="R31" s="11" t="s">
        <v>32</v>
      </c>
      <c r="S31" s="2" t="s">
        <v>9</v>
      </c>
      <c r="T31" s="2" t="s">
        <v>10</v>
      </c>
      <c r="U31" s="2" t="s">
        <v>4</v>
      </c>
      <c r="V31" s="2" t="s">
        <v>27</v>
      </c>
      <c r="W31" s="2" t="s">
        <v>12</v>
      </c>
      <c r="X31" s="2" t="s">
        <v>13</v>
      </c>
      <c r="Y31" s="2" t="s">
        <v>14</v>
      </c>
    </row>
    <row r="32" spans="1:25" x14ac:dyDescent="0.25">
      <c r="A32" s="2" t="s">
        <v>23</v>
      </c>
      <c r="B32" s="8">
        <v>27</v>
      </c>
      <c r="C32" s="4" t="str" cm="1">
        <f t="array" ref="C32">_xlfn.IFS(AND(B32&gt;=21,B32&lt;=25),"Early Adulthood",AND(B32&gt;=26,B32&lt;=30),"Established Adulthood",AND(B32&gt;=31,B32&lt;=35),"Experienced Adulthood")</f>
        <v>Established Adulthood</v>
      </c>
      <c r="D32" s="2" t="s">
        <v>2</v>
      </c>
      <c r="E32" s="8">
        <v>4</v>
      </c>
      <c r="F32" s="8">
        <v>5</v>
      </c>
      <c r="G32" s="8">
        <v>1</v>
      </c>
      <c r="H32" s="8">
        <v>2</v>
      </c>
      <c r="I32" s="8">
        <v>7</v>
      </c>
      <c r="J32" s="8">
        <v>3</v>
      </c>
      <c r="K32" s="8">
        <v>6</v>
      </c>
      <c r="L32" s="2" t="s">
        <v>15</v>
      </c>
      <c r="M32" s="2" t="s">
        <v>3</v>
      </c>
      <c r="N32" s="2" t="s">
        <v>40</v>
      </c>
      <c r="O32" s="2" t="s">
        <v>5</v>
      </c>
      <c r="P32" s="2" t="s">
        <v>6</v>
      </c>
      <c r="Q32" s="2" t="s">
        <v>7</v>
      </c>
      <c r="R32" s="11" t="s">
        <v>32</v>
      </c>
      <c r="S32" s="2" t="s">
        <v>9</v>
      </c>
      <c r="T32" s="2" t="s">
        <v>43</v>
      </c>
      <c r="U32" s="2" t="s">
        <v>4</v>
      </c>
      <c r="V32" s="2" t="s">
        <v>27</v>
      </c>
      <c r="W32" s="2" t="s">
        <v>12</v>
      </c>
      <c r="X32" s="2" t="s">
        <v>13</v>
      </c>
      <c r="Y32" s="2" t="s">
        <v>29</v>
      </c>
    </row>
    <row r="33" spans="1:25" x14ac:dyDescent="0.25">
      <c r="A33" s="2" t="s">
        <v>1</v>
      </c>
      <c r="B33" s="8">
        <v>31</v>
      </c>
      <c r="C33" s="4" t="str" cm="1">
        <f t="array" ref="C33">_xlfn.IFS(AND(B33&gt;=21,B33&lt;=25),"Early Adulthood",AND(B33&gt;=26,B33&lt;=30),"Established Adulthood",AND(B33&gt;=31,B33&lt;=35),"Experienced Adulthood")</f>
        <v>Experienced Adulthood</v>
      </c>
      <c r="D33" s="2" t="s">
        <v>2</v>
      </c>
      <c r="E33" s="8">
        <v>2</v>
      </c>
      <c r="F33" s="8">
        <v>4</v>
      </c>
      <c r="G33" s="8">
        <v>7</v>
      </c>
      <c r="H33" s="8">
        <v>6</v>
      </c>
      <c r="I33" s="8">
        <v>3</v>
      </c>
      <c r="J33" s="8">
        <v>1</v>
      </c>
      <c r="K33" s="8">
        <v>5</v>
      </c>
      <c r="L33" s="2" t="s">
        <v>2</v>
      </c>
      <c r="M33" s="2" t="s">
        <v>3</v>
      </c>
      <c r="N33" s="2" t="s">
        <v>4</v>
      </c>
      <c r="O33" s="2" t="s">
        <v>5</v>
      </c>
      <c r="P33" s="2" t="s">
        <v>24</v>
      </c>
      <c r="Q33" s="2" t="s">
        <v>7</v>
      </c>
      <c r="R33" s="11" t="s">
        <v>8</v>
      </c>
      <c r="S33" s="2" t="s">
        <v>42</v>
      </c>
      <c r="T33" s="2" t="s">
        <v>10</v>
      </c>
      <c r="U33" s="2" t="s">
        <v>4</v>
      </c>
      <c r="V33" s="2" t="s">
        <v>11</v>
      </c>
      <c r="W33" s="2" t="s">
        <v>28</v>
      </c>
      <c r="X33" s="2" t="s">
        <v>13</v>
      </c>
      <c r="Y33" s="2" t="s">
        <v>22</v>
      </c>
    </row>
    <row r="34" spans="1:25" x14ac:dyDescent="0.25">
      <c r="A34" s="2" t="s">
        <v>23</v>
      </c>
      <c r="B34" s="8">
        <v>27</v>
      </c>
      <c r="C34" s="4" t="str" cm="1">
        <f t="array" ref="C34">_xlfn.IFS(AND(B34&gt;=21,B34&lt;=25),"Early Adulthood",AND(B34&gt;=26,B34&lt;=30),"Established Adulthood",AND(B34&gt;=31,B34&lt;=35),"Experienced Adulthood")</f>
        <v>Established Adulthood</v>
      </c>
      <c r="D34" s="2" t="s">
        <v>2</v>
      </c>
      <c r="E34" s="8">
        <v>2</v>
      </c>
      <c r="F34" s="8">
        <v>4</v>
      </c>
      <c r="G34" s="8">
        <v>7</v>
      </c>
      <c r="H34" s="8">
        <v>5</v>
      </c>
      <c r="I34" s="8">
        <v>1</v>
      </c>
      <c r="J34" s="8">
        <v>3</v>
      </c>
      <c r="K34" s="8">
        <v>6</v>
      </c>
      <c r="L34" s="2" t="s">
        <v>2</v>
      </c>
      <c r="M34" s="2" t="s">
        <v>3</v>
      </c>
      <c r="N34" s="2" t="s">
        <v>4</v>
      </c>
      <c r="O34" s="2" t="s">
        <v>5</v>
      </c>
      <c r="P34" s="2" t="s">
        <v>24</v>
      </c>
      <c r="Q34" s="2" t="s">
        <v>7</v>
      </c>
      <c r="R34" s="11" t="s">
        <v>38</v>
      </c>
      <c r="S34" s="2" t="s">
        <v>26</v>
      </c>
      <c r="T34" s="2" t="s">
        <v>19</v>
      </c>
      <c r="U34" s="2" t="s">
        <v>4</v>
      </c>
      <c r="V34" s="2" t="s">
        <v>33</v>
      </c>
      <c r="W34" s="2" t="s">
        <v>28</v>
      </c>
      <c r="X34" s="2" t="s">
        <v>13</v>
      </c>
      <c r="Y34" s="2" t="s">
        <v>14</v>
      </c>
    </row>
    <row r="35" spans="1:25" x14ac:dyDescent="0.25">
      <c r="A35" s="2" t="s">
        <v>23</v>
      </c>
      <c r="B35" s="8">
        <v>26</v>
      </c>
      <c r="C35" s="4" t="str" cm="1">
        <f t="array" ref="C35">_xlfn.IFS(AND(B35&gt;=21,B35&lt;=25),"Early Adulthood",AND(B35&gt;=26,B35&lt;=30),"Established Adulthood",AND(B35&gt;=31,B35&lt;=35),"Experienced Adulthood")</f>
        <v>Established Adulthood</v>
      </c>
      <c r="D35" s="2" t="s">
        <v>2</v>
      </c>
      <c r="E35" s="8">
        <v>2</v>
      </c>
      <c r="F35" s="8">
        <v>3</v>
      </c>
      <c r="G35" s="8">
        <v>6</v>
      </c>
      <c r="H35" s="8">
        <v>4</v>
      </c>
      <c r="I35" s="8">
        <v>1</v>
      </c>
      <c r="J35" s="8">
        <v>5</v>
      </c>
      <c r="K35" s="8">
        <v>7</v>
      </c>
      <c r="L35" s="2" t="s">
        <v>2</v>
      </c>
      <c r="M35" s="2" t="s">
        <v>3</v>
      </c>
      <c r="N35" s="2" t="s">
        <v>4</v>
      </c>
      <c r="O35" s="2" t="s">
        <v>3</v>
      </c>
      <c r="P35" s="2" t="s">
        <v>6</v>
      </c>
      <c r="Q35" s="2" t="s">
        <v>7</v>
      </c>
      <c r="R35" s="11" t="s">
        <v>8</v>
      </c>
      <c r="S35" s="2" t="s">
        <v>42</v>
      </c>
      <c r="T35" s="2" t="s">
        <v>43</v>
      </c>
      <c r="U35" s="2" t="s">
        <v>20</v>
      </c>
      <c r="V35" s="2" t="s">
        <v>11</v>
      </c>
      <c r="W35" s="2" t="s">
        <v>12</v>
      </c>
      <c r="X35" s="2" t="s">
        <v>36</v>
      </c>
      <c r="Y35" s="2" t="s">
        <v>14</v>
      </c>
    </row>
    <row r="36" spans="1:25" x14ac:dyDescent="0.25">
      <c r="A36" s="2" t="s">
        <v>23</v>
      </c>
      <c r="B36" s="8">
        <v>27</v>
      </c>
      <c r="C36" s="4" t="str" cm="1">
        <f t="array" ref="C36">_xlfn.IFS(AND(B36&gt;=21,B36&lt;=25),"Early Adulthood",AND(B36&gt;=26,B36&lt;=30),"Established Adulthood",AND(B36&gt;=31,B36&lt;=35),"Experienced Adulthood")</f>
        <v>Established Adulthood</v>
      </c>
      <c r="D36" s="2" t="s">
        <v>2</v>
      </c>
      <c r="E36" s="8">
        <v>2</v>
      </c>
      <c r="F36" s="8">
        <v>3</v>
      </c>
      <c r="G36" s="8">
        <v>6</v>
      </c>
      <c r="H36" s="8">
        <v>5</v>
      </c>
      <c r="I36" s="8">
        <v>4</v>
      </c>
      <c r="J36" s="8">
        <v>1</v>
      </c>
      <c r="K36" s="8">
        <v>7</v>
      </c>
      <c r="L36" s="2" t="s">
        <v>2</v>
      </c>
      <c r="M36" s="2" t="s">
        <v>3</v>
      </c>
      <c r="N36" s="2" t="s">
        <v>4</v>
      </c>
      <c r="O36" s="2" t="s">
        <v>5</v>
      </c>
      <c r="P36" s="2" t="s">
        <v>6</v>
      </c>
      <c r="Q36" s="2" t="s">
        <v>18</v>
      </c>
      <c r="R36" s="11" t="s">
        <v>8</v>
      </c>
      <c r="S36" s="2" t="s">
        <v>9</v>
      </c>
      <c r="T36" s="2" t="s">
        <v>19</v>
      </c>
      <c r="U36" s="2" t="s">
        <v>4</v>
      </c>
      <c r="V36" s="2" t="s">
        <v>11</v>
      </c>
      <c r="W36" s="2" t="s">
        <v>12</v>
      </c>
      <c r="X36" s="2" t="s">
        <v>13</v>
      </c>
      <c r="Y36" s="2" t="s">
        <v>22</v>
      </c>
    </row>
    <row r="37" spans="1:25" x14ac:dyDescent="0.25">
      <c r="A37" s="2" t="s">
        <v>23</v>
      </c>
      <c r="B37" s="8">
        <v>30</v>
      </c>
      <c r="C37" s="4" t="str" cm="1">
        <f t="array" ref="C37">_xlfn.IFS(AND(B37&gt;=21,B37&lt;=25),"Early Adulthood",AND(B37&gt;=26,B37&lt;=30),"Established Adulthood",AND(B37&gt;=31,B37&lt;=35),"Experienced Adulthood")</f>
        <v>Established Adulthood</v>
      </c>
      <c r="D37" s="2" t="s">
        <v>2</v>
      </c>
      <c r="E37" s="8">
        <v>1</v>
      </c>
      <c r="F37" s="8">
        <v>4</v>
      </c>
      <c r="G37" s="8">
        <v>6</v>
      </c>
      <c r="H37" s="8">
        <v>5</v>
      </c>
      <c r="I37" s="8">
        <v>3</v>
      </c>
      <c r="J37" s="8">
        <v>2</v>
      </c>
      <c r="K37" s="8">
        <v>7</v>
      </c>
      <c r="L37" s="2" t="s">
        <v>2</v>
      </c>
      <c r="M37" s="2" t="s">
        <v>37</v>
      </c>
      <c r="N37" s="2" t="s">
        <v>40</v>
      </c>
      <c r="O37" s="2" t="s">
        <v>5</v>
      </c>
      <c r="P37" s="2" t="s">
        <v>24</v>
      </c>
      <c r="Q37" s="2" t="s">
        <v>7</v>
      </c>
      <c r="R37" s="11" t="s">
        <v>8</v>
      </c>
      <c r="S37" s="2" t="s">
        <v>42</v>
      </c>
      <c r="T37" s="2" t="s">
        <v>19</v>
      </c>
      <c r="U37" s="2" t="s">
        <v>4</v>
      </c>
      <c r="V37" s="2" t="s">
        <v>11</v>
      </c>
      <c r="W37" s="2" t="s">
        <v>28</v>
      </c>
      <c r="X37" s="2" t="s">
        <v>13</v>
      </c>
      <c r="Y37" s="2" t="s">
        <v>22</v>
      </c>
    </row>
    <row r="38" spans="1:25" x14ac:dyDescent="0.25">
      <c r="A38" s="2" t="s">
        <v>23</v>
      </c>
      <c r="B38" s="8">
        <v>30</v>
      </c>
      <c r="C38" s="4" t="str" cm="1">
        <f t="array" ref="C38">_xlfn.IFS(AND(B38&gt;=21,B38&lt;=25),"Early Adulthood",AND(B38&gt;=26,B38&lt;=30),"Established Adulthood",AND(B38&gt;=31,B38&lt;=35),"Experienced Adulthood")</f>
        <v>Established Adulthood</v>
      </c>
      <c r="D38" s="2" t="s">
        <v>2</v>
      </c>
      <c r="E38" s="8">
        <v>2</v>
      </c>
      <c r="F38" s="8">
        <v>4</v>
      </c>
      <c r="G38" s="8">
        <v>7</v>
      </c>
      <c r="H38" s="8">
        <v>5</v>
      </c>
      <c r="I38" s="8">
        <v>1</v>
      </c>
      <c r="J38" s="8">
        <v>3</v>
      </c>
      <c r="K38" s="8">
        <v>6</v>
      </c>
      <c r="L38" s="2" t="s">
        <v>2</v>
      </c>
      <c r="M38" s="2" t="s">
        <v>3</v>
      </c>
      <c r="N38" s="2" t="s">
        <v>4</v>
      </c>
      <c r="O38" s="2" t="s">
        <v>5</v>
      </c>
      <c r="P38" s="2" t="s">
        <v>6</v>
      </c>
      <c r="Q38" s="2" t="s">
        <v>7</v>
      </c>
      <c r="R38" s="11" t="s">
        <v>8</v>
      </c>
      <c r="S38" s="2" t="s">
        <v>26</v>
      </c>
      <c r="T38" s="2" t="s">
        <v>10</v>
      </c>
      <c r="U38" s="2" t="s">
        <v>4</v>
      </c>
      <c r="V38" s="2" t="s">
        <v>11</v>
      </c>
      <c r="W38" s="2" t="s">
        <v>28</v>
      </c>
      <c r="X38" s="2" t="s">
        <v>36</v>
      </c>
      <c r="Y38" s="2" t="s">
        <v>14</v>
      </c>
    </row>
    <row r="39" spans="1:25" x14ac:dyDescent="0.25">
      <c r="A39" s="2" t="s">
        <v>23</v>
      </c>
      <c r="B39" s="8">
        <v>25</v>
      </c>
      <c r="C39" s="4" t="str" cm="1">
        <f t="array" ref="C39">_xlfn.IFS(AND(B39&gt;=21,B39&lt;=25),"Early Adulthood",AND(B39&gt;=26,B39&lt;=30),"Established Adulthood",AND(B39&gt;=31,B39&lt;=35),"Experienced Adulthood")</f>
        <v>Early Adulthood</v>
      </c>
      <c r="D39" s="2" t="s">
        <v>2</v>
      </c>
      <c r="E39" s="8">
        <v>5</v>
      </c>
      <c r="F39" s="8">
        <v>4</v>
      </c>
      <c r="G39" s="8">
        <v>7</v>
      </c>
      <c r="H39" s="8">
        <v>6</v>
      </c>
      <c r="I39" s="8">
        <v>1</v>
      </c>
      <c r="J39" s="8">
        <v>2</v>
      </c>
      <c r="K39" s="8">
        <v>3</v>
      </c>
      <c r="L39" s="2" t="s">
        <v>2</v>
      </c>
      <c r="M39" s="2" t="s">
        <v>37</v>
      </c>
      <c r="N39" s="2" t="s">
        <v>40</v>
      </c>
      <c r="O39" s="2" t="s">
        <v>41</v>
      </c>
      <c r="P39" s="2" t="s">
        <v>24</v>
      </c>
      <c r="Q39" s="2" t="s">
        <v>7</v>
      </c>
      <c r="R39" s="11" t="s">
        <v>38</v>
      </c>
      <c r="S39" s="2" t="s">
        <v>44</v>
      </c>
      <c r="T39" s="2" t="s">
        <v>19</v>
      </c>
      <c r="U39" s="2" t="s">
        <v>4</v>
      </c>
      <c r="V39" s="2" t="s">
        <v>11</v>
      </c>
      <c r="W39" s="2" t="s">
        <v>12</v>
      </c>
      <c r="X39" s="2" t="s">
        <v>13</v>
      </c>
      <c r="Y39" s="2" t="s">
        <v>22</v>
      </c>
    </row>
    <row r="40" spans="1:25" x14ac:dyDescent="0.25">
      <c r="A40" s="2" t="s">
        <v>23</v>
      </c>
      <c r="B40" s="8">
        <v>31</v>
      </c>
      <c r="C40" s="4" t="str" cm="1">
        <f t="array" ref="C40">_xlfn.IFS(AND(B40&gt;=21,B40&lt;=25),"Early Adulthood",AND(B40&gt;=26,B40&lt;=30),"Established Adulthood",AND(B40&gt;=31,B40&lt;=35),"Experienced Adulthood")</f>
        <v>Experienced Adulthood</v>
      </c>
      <c r="D40" s="2" t="s">
        <v>2</v>
      </c>
      <c r="E40" s="8">
        <v>2</v>
      </c>
      <c r="F40" s="8">
        <v>4</v>
      </c>
      <c r="G40" s="8">
        <v>7</v>
      </c>
      <c r="H40" s="8">
        <v>5</v>
      </c>
      <c r="I40" s="8">
        <v>3</v>
      </c>
      <c r="J40" s="8">
        <v>1</v>
      </c>
      <c r="K40" s="8">
        <v>6</v>
      </c>
      <c r="L40" s="2" t="s">
        <v>2</v>
      </c>
      <c r="M40" s="2" t="s">
        <v>37</v>
      </c>
      <c r="N40" s="2" t="s">
        <v>40</v>
      </c>
      <c r="O40" s="2" t="s">
        <v>5</v>
      </c>
      <c r="P40" s="2" t="s">
        <v>6</v>
      </c>
      <c r="Q40" s="2" t="s">
        <v>18</v>
      </c>
      <c r="R40" s="11" t="s">
        <v>8</v>
      </c>
      <c r="S40" s="2" t="s">
        <v>26</v>
      </c>
      <c r="T40" s="2" t="s">
        <v>19</v>
      </c>
      <c r="U40" s="2" t="s">
        <v>20</v>
      </c>
      <c r="V40" s="2" t="s">
        <v>33</v>
      </c>
      <c r="W40" s="2" t="s">
        <v>28</v>
      </c>
      <c r="X40" s="2" t="s">
        <v>13</v>
      </c>
      <c r="Y40" s="2" t="s">
        <v>14</v>
      </c>
    </row>
    <row r="41" spans="1:25" x14ac:dyDescent="0.25">
      <c r="A41" s="2" t="s">
        <v>23</v>
      </c>
      <c r="B41" s="8">
        <v>29</v>
      </c>
      <c r="C41" s="4" t="str" cm="1">
        <f t="array" ref="C41">_xlfn.IFS(AND(B41&gt;=21,B41&lt;=25),"Early Adulthood",AND(B41&gt;=26,B41&lt;=30),"Established Adulthood",AND(B41&gt;=31,B41&lt;=35),"Experienced Adulthood")</f>
        <v>Established Adulthood</v>
      </c>
      <c r="D41" s="2" t="s">
        <v>2</v>
      </c>
      <c r="E41" s="8">
        <v>4</v>
      </c>
      <c r="F41" s="8">
        <v>3</v>
      </c>
      <c r="G41" s="8">
        <v>5</v>
      </c>
      <c r="H41" s="8">
        <v>7</v>
      </c>
      <c r="I41" s="8">
        <v>2</v>
      </c>
      <c r="J41" s="8">
        <v>1</v>
      </c>
      <c r="K41" s="8">
        <v>6</v>
      </c>
      <c r="L41" s="2" t="s">
        <v>2</v>
      </c>
      <c r="M41" s="2" t="s">
        <v>3</v>
      </c>
      <c r="N41" s="2" t="s">
        <v>4</v>
      </c>
      <c r="O41" s="2" t="s">
        <v>5</v>
      </c>
      <c r="P41" s="2" t="s">
        <v>24</v>
      </c>
      <c r="Q41" s="2" t="s">
        <v>7</v>
      </c>
      <c r="R41" s="11" t="s">
        <v>8</v>
      </c>
      <c r="S41" s="2" t="s">
        <v>42</v>
      </c>
      <c r="T41" s="2" t="s">
        <v>10</v>
      </c>
      <c r="U41" s="2" t="s">
        <v>20</v>
      </c>
      <c r="V41" s="2" t="s">
        <v>11</v>
      </c>
      <c r="W41" s="2" t="s">
        <v>12</v>
      </c>
      <c r="X41" s="2" t="s">
        <v>13</v>
      </c>
      <c r="Y41" s="2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 Preference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 LIGHT</dc:creator>
  <cp:lastModifiedBy>Eben Light</cp:lastModifiedBy>
  <dcterms:created xsi:type="dcterms:W3CDTF">2026-07-08T09:11:20Z</dcterms:created>
  <dcterms:modified xsi:type="dcterms:W3CDTF">2026-07-09T09:52:31Z</dcterms:modified>
</cp:coreProperties>
</file>